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5033711d378898/Documents/spring-26'/EGR314/"/>
    </mc:Choice>
  </mc:AlternateContent>
  <xr:revisionPtr revIDLastSave="0" documentId="8_{D6E4CF26-450E-4937-ABBC-85406BA8E199}" xr6:coauthVersionLast="47" xr6:coauthVersionMax="47" xr10:uidLastSave="{00000000-0000-0000-0000-000000000000}"/>
  <bookViews>
    <workbookView xWindow="-98" yWindow="-98" windowWidth="19396" windowHeight="11475" xr2:uid="{83D7154F-F20D-473E-A294-94F498EA5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8" i="1"/>
  <c r="D11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<sst xmlns="http://schemas.openxmlformats.org/spreadsheetml/2006/main" count="160" uniqueCount="72">
  <si>
    <t>Part name</t>
  </si>
  <si>
    <t>Qty</t>
  </si>
  <si>
    <t xml:space="preserve">Cost/unit </t>
  </si>
  <si>
    <t xml:space="preserve">Total cost </t>
  </si>
  <si>
    <t>Manufacturer</t>
  </si>
  <si>
    <t>Manufacturer part #</t>
  </si>
  <si>
    <t>Supplier</t>
  </si>
  <si>
    <t>Vendor part #</t>
  </si>
  <si>
    <t>Datasheet</t>
  </si>
  <si>
    <t>Vender link</t>
  </si>
  <si>
    <t>Schematic reference designators</t>
  </si>
  <si>
    <t>Battery (12V)</t>
  </si>
  <si>
    <t>KGIOO</t>
  </si>
  <si>
    <t>n/a</t>
  </si>
  <si>
    <t>Amazon</t>
  </si>
  <si>
    <t>Link</t>
  </si>
  <si>
    <t>BT1</t>
  </si>
  <si>
    <t>Voltage Regulator (3.3V)</t>
  </si>
  <si>
    <t>Diodes Incorporated</t>
  </si>
  <si>
    <t>AP63203WU-7</t>
  </si>
  <si>
    <t>Digikey</t>
  </si>
  <si>
    <t>AP63203WU-7DITR-ND</t>
  </si>
  <si>
    <t>V.R1</t>
  </si>
  <si>
    <t>Voltage Regulator (6V)</t>
  </si>
  <si>
    <t>STMicroelectronics</t>
  </si>
  <si>
    <t>L7806ABD2T-TR</t>
  </si>
  <si>
    <t>497-1172-2-ND</t>
  </si>
  <si>
    <t>V.R(6V)1</t>
  </si>
  <si>
    <t>Motor Driver</t>
  </si>
  <si>
    <t>Toshiba Semiconductor and Storage</t>
  </si>
  <si>
    <t>TB6612FNG</t>
  </si>
  <si>
    <t>TB6612FNGC8ELTR-ND</t>
  </si>
  <si>
    <t>M.DR1</t>
  </si>
  <si>
    <t>Motor</t>
  </si>
  <si>
    <t>Pololu</t>
  </si>
  <si>
    <t>2183-2371-ND</t>
  </si>
  <si>
    <t>Motor-RSC1, Motor-RSC2</t>
  </si>
  <si>
    <t>Microcontroller (PIC18F47K42)</t>
  </si>
  <si>
    <t>Microchip</t>
  </si>
  <si>
    <t>PIC18F47K42</t>
  </si>
  <si>
    <t>PIC18F47K42-I/P-ND</t>
  </si>
  <si>
    <t>PIC-RSC1</t>
  </si>
  <si>
    <t>MPLab Snap</t>
  </si>
  <si>
    <t>PG164100</t>
  </si>
  <si>
    <t>SNAP1</t>
  </si>
  <si>
    <t>8-pin DIP IC Socket</t>
  </si>
  <si>
    <t>Assmann WSW Components</t>
  </si>
  <si>
    <t>A 08-LC-TT</t>
  </si>
  <si>
    <t>Digi-Key</t>
  </si>
  <si>
    <t>AE9986-ND</t>
  </si>
  <si>
    <t>J1, J2</t>
  </si>
  <si>
    <t>Connectors 01x02</t>
  </si>
  <si>
    <t>J3, J4, J5</t>
  </si>
  <si>
    <t>Electronics Kit</t>
  </si>
  <si>
    <t>WWZMDiB</t>
  </si>
  <si>
    <t>amazon</t>
  </si>
  <si>
    <t>(i) Capacitors (10uF)</t>
  </si>
  <si>
    <t>C1, C10, C11</t>
  </si>
  <si>
    <t>(ii) Capacitors (0.1uF)</t>
  </si>
  <si>
    <t>C2, C7, C8, C9</t>
  </si>
  <si>
    <t>(iii) Capacitors (22uF)</t>
  </si>
  <si>
    <t>C3, C5</t>
  </si>
  <si>
    <t>(iv) Capapcitors (1uF)</t>
  </si>
  <si>
    <t>C4</t>
  </si>
  <si>
    <t>(v) Capapcitors (0.33uF)</t>
  </si>
  <si>
    <t>C6</t>
  </si>
  <si>
    <t>(vi) Switch</t>
  </si>
  <si>
    <t>SW1. SW2</t>
  </si>
  <si>
    <t>Resistor kit</t>
  </si>
  <si>
    <t>LuminologyPro</t>
  </si>
  <si>
    <t>(i) Resistors 10k - 2.5mW</t>
  </si>
  <si>
    <t>R1, R2, 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</si>
</sst>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0" fontId="2" fillId="0" borderId="0" xfId="1" applyAlignment="1">
      <alignment horizontal="center"/>
    </xf>
    <xf numFmtId="8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Fill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assmann-wsw-components/A-08-LC-TT/821740" TargetMode="External"/><Relationship Id="rId13" Type="http://schemas.openxmlformats.org/officeDocument/2006/relationships/hyperlink" Target="https://www.st.com/content/ccc/resource/technical/document/datasheet/41/4f/b3/b0/12/d4/47/88/CD00000444.pdf/files/CD00000444.pdf/jcr:content/translations/en.CD00000444.pdf" TargetMode="External"/><Relationship Id="rId3" Type="http://schemas.openxmlformats.org/officeDocument/2006/relationships/hyperlink" Target="https://ww1.microchip.com/downloads/en/DeviceDoc/PIC18(L)F26-27-45-46-47-55-56-57K42-Data-Sheet-40001919G.pdf" TargetMode="External"/><Relationship Id="rId7" Type="http://schemas.openxmlformats.org/officeDocument/2006/relationships/hyperlink" Target="https://www.assmann-wsw.com/uploads/datasheets/ASS_0810_CO.pdf" TargetMode="External"/><Relationship Id="rId12" Type="http://schemas.openxmlformats.org/officeDocument/2006/relationships/hyperlink" Target="https://www.digikey.com/en/products/detail/toshiba-semiconductor-and-storage/tb6612fng-c-8-el/1730070" TargetMode="External"/><Relationship Id="rId17" Type="http://schemas.openxmlformats.org/officeDocument/2006/relationships/hyperlink" Target="https://www.pololu.com/file/0J1487/pololu-micro-metal-gearmotors-rev-6-1.pdf" TargetMode="External"/><Relationship Id="rId2" Type="http://schemas.openxmlformats.org/officeDocument/2006/relationships/hyperlink" Target="https://www.mouser.com/datasheet/3/282/1/MPLAB_Snap_In_Circuit_Debugger_IS_DS50002787A.pdf" TargetMode="External"/><Relationship Id="rId16" Type="http://schemas.openxmlformats.org/officeDocument/2006/relationships/hyperlink" Target="https://www.digikey.com/en/products/detail/pololu/2371/10450018?s=N4IgTCBcDa4MwHYCMACADgewDbYK4oBMBjFAWwwBcMAnEAXQF8g" TargetMode="External"/><Relationship Id="rId1" Type="http://schemas.openxmlformats.org/officeDocument/2006/relationships/hyperlink" Target="https://www.microchip.com/en-us/development-tool/pg164100" TargetMode="External"/><Relationship Id="rId6" Type="http://schemas.openxmlformats.org/officeDocument/2006/relationships/hyperlink" Target="https://www.amazon.com/gp/product/B0B2HVCDJH?smid=A1YZW40LYQY3L1&amp;psc=1" TargetMode="External"/><Relationship Id="rId11" Type="http://schemas.openxmlformats.org/officeDocument/2006/relationships/hyperlink" Target="https://toshiba.semicon-storage.com/info/TB6612FNG_datasheet_en_20141001.pdf?did=10660&amp;prodName=TB6612FNG" TargetMode="External"/><Relationship Id="rId5" Type="http://schemas.openxmlformats.org/officeDocument/2006/relationships/hyperlink" Target="https://www.amazon.com/Resistor-Resistors-Assortment-Breadboard-Electronics/dp/B0F4P352BB?dib=eyJ2IjoiMSJ9.51CpWqJSseWX_hEqqJr41JIyLiAJwLszZgj-hvHVvUABkHvQlZXX24_yiftq_G5D9n5EgYy69Iz-G_CJcNqpTZ-S1FdUgSr9hRHxkOrF51w8y_WUnQd6huWmVviqbWaJ--QpTombL1F6z7DnKn00" TargetMode="External"/><Relationship Id="rId15" Type="http://schemas.openxmlformats.org/officeDocument/2006/relationships/hyperlink" Target="https://www.amazon.com/Lithium-Phosphate-Rechargeable-Finder%EF%BC%8CSolar-Power%EF%BC%8CLighting/dp/B0FCFZG7DT?ref_=ast_sto_dp" TargetMode="External"/><Relationship Id="rId10" Type="http://schemas.openxmlformats.org/officeDocument/2006/relationships/hyperlink" Target="https://www.digikey.com/en/products/detail/diodes-incorporated/AP63203WU-7/9858426?gclsrc=aw.ds&amp;gad_source=1&amp;gad_campaignid=120565755&amp;gbraid=0AAAAADrbLljItgRzsVnNO3-5qPvu9sOfC&amp;gclid=Cj0KCQiAy6vMBhDCARIsAK8rOgn7K4gVE3J7ADv3_Q5YxXXt60sMg7ncnEewleIUWCqzGQ6boCWI1fQaAiB6EALw_wcB" TargetMode="External"/><Relationship Id="rId4" Type="http://schemas.openxmlformats.org/officeDocument/2006/relationships/hyperlink" Target="https://www.digikey.com/en/products/detail/microchip-technology/PIC18F47K42-I-P/8536645" TargetMode="External"/><Relationship Id="rId9" Type="http://schemas.openxmlformats.org/officeDocument/2006/relationships/hyperlink" Target="https://www.diodes.com/assets/Datasheets/AP63200-AP63201-AP63203-AP63205.pdf" TargetMode="External"/><Relationship Id="rId14" Type="http://schemas.openxmlformats.org/officeDocument/2006/relationships/hyperlink" Target="https://www.digikey.com/en/products/detail/stmicroelectronics/L7806ABD2T-TR/5856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3BC6-5F47-4A47-889E-76487A613622}">
  <dimension ref="A1:K20"/>
  <sheetViews>
    <sheetView tabSelected="1" zoomScale="85" zoomScaleNormal="85" workbookViewId="0">
      <selection activeCell="F23" sqref="F23"/>
    </sheetView>
  </sheetViews>
  <sheetFormatPr defaultRowHeight="14.25" x14ac:dyDescent="0.45"/>
  <cols>
    <col min="1" max="1" width="27.73046875" customWidth="1"/>
    <col min="5" max="5" width="29.9296875" customWidth="1"/>
    <col min="6" max="6" width="22" customWidth="1"/>
    <col min="7" max="7" width="12.265625" customWidth="1"/>
    <col min="8" max="8" width="21.9296875" customWidth="1"/>
    <col min="9" max="9" width="10.6640625" customWidth="1"/>
    <col min="10" max="10" width="11.3984375" customWidth="1"/>
    <col min="11" max="11" width="28.79687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1" t="s">
        <v>11</v>
      </c>
      <c r="B2" s="1">
        <v>1</v>
      </c>
      <c r="C2" s="2">
        <v>15.9</v>
      </c>
      <c r="D2" s="3">
        <f>C2*B2</f>
        <v>15.9</v>
      </c>
      <c r="E2" s="1" t="s">
        <v>12</v>
      </c>
      <c r="F2" s="1" t="s">
        <v>13</v>
      </c>
      <c r="G2" s="1" t="s">
        <v>14</v>
      </c>
      <c r="H2" s="1" t="s">
        <v>13</v>
      </c>
      <c r="I2" s="1" t="s">
        <v>13</v>
      </c>
      <c r="J2" s="4" t="s">
        <v>15</v>
      </c>
      <c r="K2" s="1" t="s">
        <v>16</v>
      </c>
    </row>
    <row r="3" spans="1:11" x14ac:dyDescent="0.45">
      <c r="A3" s="1" t="s">
        <v>17</v>
      </c>
      <c r="B3" s="1">
        <v>1</v>
      </c>
      <c r="C3" s="2">
        <v>0.71</v>
      </c>
      <c r="D3" s="3">
        <f t="shared" ref="D3:D8" si="0">C3*B3</f>
        <v>0.71</v>
      </c>
      <c r="E3" s="1" t="s">
        <v>18</v>
      </c>
      <c r="F3" s="1" t="s">
        <v>19</v>
      </c>
      <c r="G3" s="1" t="s">
        <v>20</v>
      </c>
      <c r="H3" s="1" t="s">
        <v>21</v>
      </c>
      <c r="I3" s="4" t="s">
        <v>8</v>
      </c>
      <c r="J3" s="4" t="s">
        <v>15</v>
      </c>
      <c r="K3" s="1" t="s">
        <v>22</v>
      </c>
    </row>
    <row r="4" spans="1:11" x14ac:dyDescent="0.45">
      <c r="A4" s="1" t="s">
        <v>23</v>
      </c>
      <c r="B4" s="1">
        <v>1</v>
      </c>
      <c r="C4" s="2">
        <v>0.96</v>
      </c>
      <c r="D4" s="3">
        <f t="shared" si="0"/>
        <v>0.96</v>
      </c>
      <c r="E4" s="1" t="s">
        <v>24</v>
      </c>
      <c r="F4" s="1" t="s">
        <v>25</v>
      </c>
      <c r="G4" s="1" t="s">
        <v>20</v>
      </c>
      <c r="H4" s="1" t="s">
        <v>26</v>
      </c>
      <c r="I4" s="4" t="s">
        <v>8</v>
      </c>
      <c r="J4" s="4" t="s">
        <v>15</v>
      </c>
      <c r="K4" s="1" t="s">
        <v>27</v>
      </c>
    </row>
    <row r="5" spans="1:11" x14ac:dyDescent="0.45">
      <c r="A5" s="1" t="s">
        <v>28</v>
      </c>
      <c r="B5" s="1">
        <v>1</v>
      </c>
      <c r="C5" s="2">
        <v>1.82</v>
      </c>
      <c r="D5" s="3">
        <f t="shared" si="0"/>
        <v>1.82</v>
      </c>
      <c r="E5" s="1" t="s">
        <v>29</v>
      </c>
      <c r="F5" s="1" t="s">
        <v>30</v>
      </c>
      <c r="G5" s="1" t="s">
        <v>20</v>
      </c>
      <c r="H5" s="1" t="s">
        <v>31</v>
      </c>
      <c r="I5" s="4" t="s">
        <v>8</v>
      </c>
      <c r="J5" s="4" t="s">
        <v>15</v>
      </c>
      <c r="K5" s="1" t="s">
        <v>32</v>
      </c>
    </row>
    <row r="6" spans="1:11" x14ac:dyDescent="0.45">
      <c r="A6" s="1" t="s">
        <v>33</v>
      </c>
      <c r="B6" s="1">
        <v>2</v>
      </c>
      <c r="C6" s="2">
        <v>23.95</v>
      </c>
      <c r="D6" s="3">
        <f t="shared" si="0"/>
        <v>47.9</v>
      </c>
      <c r="E6" s="1" t="s">
        <v>34</v>
      </c>
      <c r="F6" s="1">
        <v>2371</v>
      </c>
      <c r="G6" s="1" t="s">
        <v>20</v>
      </c>
      <c r="H6" s="1" t="s">
        <v>35</v>
      </c>
      <c r="I6" s="4" t="s">
        <v>8</v>
      </c>
      <c r="J6" s="4" t="s">
        <v>15</v>
      </c>
      <c r="K6" s="1" t="s">
        <v>36</v>
      </c>
    </row>
    <row r="7" spans="1:11" x14ac:dyDescent="0.45">
      <c r="A7" s="1" t="s">
        <v>37</v>
      </c>
      <c r="B7" s="1">
        <v>1</v>
      </c>
      <c r="C7" s="2">
        <v>3.48</v>
      </c>
      <c r="D7" s="3">
        <f t="shared" si="0"/>
        <v>3.48</v>
      </c>
      <c r="E7" s="1" t="s">
        <v>38</v>
      </c>
      <c r="F7" s="1" t="s">
        <v>39</v>
      </c>
      <c r="G7" s="1" t="s">
        <v>20</v>
      </c>
      <c r="H7" s="1" t="s">
        <v>40</v>
      </c>
      <c r="I7" s="4" t="s">
        <v>8</v>
      </c>
      <c r="J7" s="4" t="s">
        <v>15</v>
      </c>
      <c r="K7" s="1" t="s">
        <v>41</v>
      </c>
    </row>
    <row r="8" spans="1:11" x14ac:dyDescent="0.45">
      <c r="A8" s="1" t="s">
        <v>42</v>
      </c>
      <c r="B8" s="1">
        <v>1</v>
      </c>
      <c r="C8" s="2">
        <v>10.99</v>
      </c>
      <c r="D8" s="3">
        <f t="shared" si="0"/>
        <v>10.99</v>
      </c>
      <c r="E8" s="1" t="s">
        <v>38</v>
      </c>
      <c r="F8" s="1" t="s">
        <v>43</v>
      </c>
      <c r="G8" s="1" t="s">
        <v>38</v>
      </c>
      <c r="H8" s="1" t="s">
        <v>43</v>
      </c>
      <c r="I8" s="4" t="s">
        <v>8</v>
      </c>
      <c r="J8" s="4" t="s">
        <v>15</v>
      </c>
      <c r="K8" s="1" t="s">
        <v>44</v>
      </c>
    </row>
    <row r="9" spans="1:11" x14ac:dyDescent="0.45">
      <c r="A9" s="1" t="s">
        <v>45</v>
      </c>
      <c r="B9" s="1">
        <v>2</v>
      </c>
      <c r="C9" s="5">
        <v>0.13</v>
      </c>
      <c r="D9" s="3">
        <f>C9*B9</f>
        <v>0.26</v>
      </c>
      <c r="E9" s="1" t="s">
        <v>46</v>
      </c>
      <c r="F9" s="1" t="s">
        <v>47</v>
      </c>
      <c r="G9" s="1" t="s">
        <v>48</v>
      </c>
      <c r="H9" s="1" t="s">
        <v>49</v>
      </c>
      <c r="I9" s="4" t="s">
        <v>8</v>
      </c>
      <c r="J9" s="4" t="s">
        <v>15</v>
      </c>
      <c r="K9" s="1" t="s">
        <v>50</v>
      </c>
    </row>
    <row r="10" spans="1:11" x14ac:dyDescent="0.45">
      <c r="A10" s="1" t="s">
        <v>51</v>
      </c>
      <c r="B10" s="1">
        <v>3</v>
      </c>
      <c r="C10" s="5" t="s">
        <v>13</v>
      </c>
      <c r="D10" s="5">
        <v>0</v>
      </c>
      <c r="E10" s="5" t="s">
        <v>13</v>
      </c>
      <c r="F10" s="5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52</v>
      </c>
    </row>
    <row r="11" spans="1:11" x14ac:dyDescent="0.45">
      <c r="A11" s="6" t="s">
        <v>53</v>
      </c>
      <c r="B11" s="1">
        <v>1</v>
      </c>
      <c r="C11" s="5">
        <v>9.99</v>
      </c>
      <c r="D11" s="5">
        <f>B11*C11</f>
        <v>9.99</v>
      </c>
      <c r="E11" s="1" t="s">
        <v>54</v>
      </c>
      <c r="F11" s="1" t="s">
        <v>13</v>
      </c>
      <c r="G11" s="1" t="s">
        <v>55</v>
      </c>
      <c r="H11" s="1" t="s">
        <v>13</v>
      </c>
      <c r="I11" s="1" t="s">
        <v>13</v>
      </c>
      <c r="J11" s="7" t="s">
        <v>15</v>
      </c>
      <c r="K11" s="1"/>
    </row>
    <row r="12" spans="1:11" x14ac:dyDescent="0.45">
      <c r="A12" s="1" t="s">
        <v>56</v>
      </c>
      <c r="B12" s="1">
        <v>3</v>
      </c>
      <c r="C12" s="5" t="s">
        <v>13</v>
      </c>
      <c r="D12" s="5">
        <v>0</v>
      </c>
      <c r="E12" s="5" t="s">
        <v>13</v>
      </c>
      <c r="F12" s="5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57</v>
      </c>
    </row>
    <row r="13" spans="1:11" x14ac:dyDescent="0.45">
      <c r="A13" s="1" t="s">
        <v>58</v>
      </c>
      <c r="B13" s="1">
        <v>4</v>
      </c>
      <c r="C13" s="5" t="s">
        <v>13</v>
      </c>
      <c r="D13" s="5">
        <v>0</v>
      </c>
      <c r="E13" s="5" t="s">
        <v>13</v>
      </c>
      <c r="F13" s="5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59</v>
      </c>
    </row>
    <row r="14" spans="1:11" x14ac:dyDescent="0.45">
      <c r="A14" s="1" t="s">
        <v>60</v>
      </c>
      <c r="B14" s="1">
        <v>2</v>
      </c>
      <c r="C14" s="5" t="s">
        <v>13</v>
      </c>
      <c r="D14" s="5">
        <v>0</v>
      </c>
      <c r="E14" s="5" t="s">
        <v>13</v>
      </c>
      <c r="F14" s="5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61</v>
      </c>
    </row>
    <row r="15" spans="1:11" x14ac:dyDescent="0.45">
      <c r="A15" s="1" t="s">
        <v>62</v>
      </c>
      <c r="B15" s="1">
        <v>1</v>
      </c>
      <c r="C15" s="5" t="s">
        <v>13</v>
      </c>
      <c r="D15" s="5">
        <v>0</v>
      </c>
      <c r="E15" s="5" t="s">
        <v>13</v>
      </c>
      <c r="F15" s="5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63</v>
      </c>
    </row>
    <row r="16" spans="1:11" x14ac:dyDescent="0.45">
      <c r="A16" s="1" t="s">
        <v>64</v>
      </c>
      <c r="B16" s="1">
        <v>1</v>
      </c>
      <c r="C16" s="5" t="s">
        <v>13</v>
      </c>
      <c r="D16" s="5">
        <v>0</v>
      </c>
      <c r="E16" s="5" t="s">
        <v>13</v>
      </c>
      <c r="F16" s="5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65</v>
      </c>
    </row>
    <row r="17" spans="1:11" x14ac:dyDescent="0.45">
      <c r="A17" s="1" t="s">
        <v>66</v>
      </c>
      <c r="B17" s="1">
        <v>2</v>
      </c>
      <c r="C17" s="5" t="s">
        <v>13</v>
      </c>
      <c r="D17" s="5">
        <v>0</v>
      </c>
      <c r="E17" s="5" t="s">
        <v>13</v>
      </c>
      <c r="F17" s="5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67</v>
      </c>
    </row>
    <row r="18" spans="1:11" x14ac:dyDescent="0.45">
      <c r="A18" s="6" t="s">
        <v>68</v>
      </c>
      <c r="B18" s="8">
        <v>1</v>
      </c>
      <c r="C18" s="5">
        <v>4.99</v>
      </c>
      <c r="D18" s="5">
        <f>B18*C18</f>
        <v>4.99</v>
      </c>
      <c r="E18" s="1" t="s">
        <v>69</v>
      </c>
      <c r="F18" s="1" t="s">
        <v>13</v>
      </c>
      <c r="G18" s="1" t="s">
        <v>55</v>
      </c>
      <c r="H18" s="1" t="s">
        <v>13</v>
      </c>
      <c r="I18" s="1" t="s">
        <v>13</v>
      </c>
      <c r="J18" s="7" t="s">
        <v>15</v>
      </c>
      <c r="K18" s="1"/>
    </row>
    <row r="19" spans="1:11" x14ac:dyDescent="0.45">
      <c r="A19" s="1" t="s">
        <v>70</v>
      </c>
      <c r="B19" s="1">
        <v>3</v>
      </c>
      <c r="C19" s="5" t="s">
        <v>13</v>
      </c>
      <c r="D19" s="5">
        <v>0</v>
      </c>
      <c r="E19" s="5" t="s">
        <v>13</v>
      </c>
      <c r="F19" s="5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71</v>
      </c>
    </row>
    <row r="20" spans="1:11" x14ac:dyDescent="0.45">
      <c r="D20" s="9">
        <f>D2+D3+D4+D5+D6+D7+D8+D9+D10+D11+D12+D13+D14+D15+D16+D17+D18+D19</f>
        <v>96.999999999999986</v>
      </c>
    </row>
  </sheetData>
  <hyperlinks>
    <hyperlink ref="J8" r:id="rId1" xr:uid="{6AE504FF-8FB6-469E-A383-AB8A9CA3EDD3}"/>
    <hyperlink ref="I8" r:id="rId2" xr:uid="{A038C653-0EC3-42CC-AB2B-066EDFE03C45}"/>
    <hyperlink ref="I7" r:id="rId3" xr:uid="{8E226F9D-83BA-4B0F-835B-30E5CA6083DD}"/>
    <hyperlink ref="J7" r:id="rId4" xr:uid="{C6C677C8-9A4A-4EFC-898E-5E2FD61BBA97}"/>
    <hyperlink ref="J18" r:id="rId5" xr:uid="{6190D0F0-9DA3-4AA1-B4AC-77744C639E45}"/>
    <hyperlink ref="J11" r:id="rId6" xr:uid="{2C7B7806-559E-4146-A04C-62018BB84302}"/>
    <hyperlink ref="I9" r:id="rId7" xr:uid="{98607E58-D3FF-4731-8544-CE6BB10661C8}"/>
    <hyperlink ref="J9" r:id="rId8" xr:uid="{065B0D62-670A-4B3D-8AF8-DFEAB16CF042}"/>
    <hyperlink ref="I3" r:id="rId9" xr:uid="{2B06CF1E-197C-4B53-822F-2E3241384AB3}"/>
    <hyperlink ref="J3" r:id="rId10" xr:uid="{7DCBF570-178A-4F04-827B-4EF6A9A8197D}"/>
    <hyperlink ref="I5" r:id="rId11" xr:uid="{E8E3A20B-4BC5-464A-A485-7A08E3B03926}"/>
    <hyperlink ref="J5" r:id="rId12" xr:uid="{849FBC47-AD03-4EC1-AC57-512EA8528AFC}"/>
    <hyperlink ref="I4" r:id="rId13" xr:uid="{AC5242AF-9687-4114-8D10-3D8770F7D60B}"/>
    <hyperlink ref="J4" r:id="rId14" xr:uid="{80BD40B5-8F7F-4BC2-888B-CFCA713137AB}"/>
    <hyperlink ref="J2" r:id="rId15" xr:uid="{D5E85275-0C35-45E0-9F18-C787BA7791D4}"/>
    <hyperlink ref="J6" r:id="rId16" xr:uid="{C87CC3C7-B117-4E31-8435-45CCB9DC2C0E}"/>
    <hyperlink ref="I6" r:id="rId17" xr:uid="{4583190F-1F28-4BB4-9D4E-7E8619960A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s</dc:creator>
  <cp:lastModifiedBy>Ronnie s</cp:lastModifiedBy>
  <dcterms:created xsi:type="dcterms:W3CDTF">2026-03-06T06:55:45Z</dcterms:created>
  <dcterms:modified xsi:type="dcterms:W3CDTF">2026-03-06T06:59:58Z</dcterms:modified>
</cp:coreProperties>
</file>